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2b1e353dffba27/PROJETOS E ATIVIDADES/DADOS/"/>
    </mc:Choice>
  </mc:AlternateContent>
  <xr:revisionPtr revIDLastSave="1105" documentId="8_{CBF5A9F1-0FBD-47FB-BDC4-8A20E50ECD73}" xr6:coauthVersionLast="47" xr6:coauthVersionMax="47" xr10:uidLastSave="{778A85F7-CCB8-457F-8796-510FBE4BA1CB}"/>
  <bookViews>
    <workbookView xWindow="-120" yWindow="-120" windowWidth="20730" windowHeight="11160" tabRatio="46" xr2:uid="{56DD8903-AC19-4007-B0D3-DE2722B5CCBA}"/>
  </bookViews>
  <sheets>
    <sheet name="Planilha1" sheetId="1" r:id="rId1"/>
    <sheet name="TABELA DE APOIO" sheetId="2" r:id="rId2"/>
  </sheets>
  <definedNames>
    <definedName name="aporte">Planilha1!$E$14</definedName>
    <definedName name="patrimonio">Planilha1!$E$17</definedName>
    <definedName name="qtd_anos">Planilha1!$E$15</definedName>
    <definedName name="rend_carteira">Planilha1!$E$10</definedName>
    <definedName name="salario">Planilha1!$E$9</definedName>
    <definedName name="Sug_investimento">Planilha1!$E$11</definedName>
    <definedName name="taxa_mensal">Planilha1!$E$16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4" i="1" s="1"/>
  <c r="E30" i="1" s="1"/>
  <c r="D34" i="1"/>
  <c r="D35" i="1"/>
  <c r="D36" i="1"/>
  <c r="D37" i="1"/>
  <c r="D38" i="1"/>
  <c r="D33" i="1"/>
  <c r="I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E38" i="1" l="1"/>
  <c r="E36" i="1"/>
  <c r="E34" i="1"/>
  <c r="D26" i="1"/>
  <c r="E26" i="1" s="1"/>
  <c r="D25" i="1"/>
  <c r="E25" i="1" s="1"/>
  <c r="E17" i="1"/>
  <c r="E18" i="1" s="1"/>
  <c r="D24" i="1"/>
  <c r="E24" i="1" s="1"/>
  <c r="E33" i="1"/>
  <c r="E37" i="1"/>
  <c r="E35" i="1"/>
  <c r="D23" i="1"/>
  <c r="E23" i="1" s="1"/>
  <c r="D22" i="1"/>
  <c r="E2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<sst xmlns="http://schemas.openxmlformats.org/spreadsheetml/2006/main" count="70" uniqueCount="35">
  <si>
    <t>INVESTIMENTO MENSAL</t>
  </si>
  <si>
    <t>CENÁRIOS</t>
  </si>
  <si>
    <t>Em 2 anos</t>
  </si>
  <si>
    <t>Em 5 anos</t>
  </si>
  <si>
    <t>Em 10 anos</t>
  </si>
  <si>
    <t>Em 20 anos</t>
  </si>
  <si>
    <t>Em 30 anos</t>
  </si>
  <si>
    <t>CONFIGURAÇÕES</t>
  </si>
  <si>
    <t>DIVIDENDOS</t>
  </si>
  <si>
    <t>Quanto investir por mês?</t>
  </si>
  <si>
    <t>Por quantos anos?</t>
  </si>
  <si>
    <t>Patrimônio acumulado</t>
  </si>
  <si>
    <t>Taxa de rendimento mensal</t>
  </si>
  <si>
    <t>Dividendos Mensais</t>
  </si>
  <si>
    <t>Salário</t>
  </si>
  <si>
    <t>Rendimento carteira</t>
  </si>
  <si>
    <t>PERFIL</t>
  </si>
  <si>
    <t>Conservador</t>
  </si>
  <si>
    <t>TIPO DE FII</t>
  </si>
  <si>
    <t>PAPEL</t>
  </si>
  <si>
    <t>TIJOLO</t>
  </si>
  <si>
    <t>HIBRIDOS</t>
  </si>
  <si>
    <t>FOFs</t>
  </si>
  <si>
    <t>DESENVOLVIMENTO</t>
  </si>
  <si>
    <t>PERCENTUAL SUGERIDO</t>
  </si>
  <si>
    <t>VALOR</t>
  </si>
  <si>
    <t xml:space="preserve">PERFIL </t>
  </si>
  <si>
    <t>HOTELARIA</t>
  </si>
  <si>
    <t>PERCENTUAL</t>
  </si>
  <si>
    <t>Moderado</t>
  </si>
  <si>
    <t>Agressivo</t>
  </si>
  <si>
    <t>CHAVE ÚNICA</t>
  </si>
  <si>
    <t>Moderado-TIJOLO</t>
  </si>
  <si>
    <t>Sugestão de investimento (30%)</t>
  </si>
  <si>
    <t>VALOR MENSAL DE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</si>
</sst>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b/>
      <sz val="14"/>
      <color rgb="FFEDE8E3"/>
      <name val="Aptos Display"/>
      <family val="2"/>
    </font>
    <font>
      <sz val="11"/>
      <color rgb="FFEDE8E3"/>
      <name val="Aptos Display"/>
      <family val="2"/>
      <scheme val="major"/>
    </font>
    <font>
      <b/>
      <sz val="14"/>
      <color rgb="FFEDE8E3"/>
      <name val="Cormorant Garamond SemiBold"/>
    </font>
    <font>
      <b/>
      <sz val="11"/>
      <color rgb="FFEDE8E3"/>
      <name val="Cormorant Garamond SemiBold"/>
    </font>
    <font>
      <sz val="11"/>
      <color theme="1"/>
      <name val="Montserrat"/>
    </font>
    <font>
      <b/>
      <sz val="11"/>
      <color rgb="FF004208"/>
      <name val="Montserrat"/>
    </font>
    <font>
      <b/>
      <sz val="11"/>
      <color rgb="FFEDE8E3"/>
      <name val="Montserrat"/>
    </font>
    <font>
      <b/>
      <sz val="12"/>
      <color theme="1"/>
      <name val="Montserrat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4208"/>
        <bgColor indexed="64"/>
      </patternFill>
    </fill>
    <fill>
      <patternFill patternType="solid">
        <fgColor rgb="FF004208"/>
        <bgColor rgb="FF000000"/>
      </patternFill>
    </fill>
    <fill>
      <patternFill patternType="solid">
        <fgColor rgb="FFF7F5F2"/>
        <bgColor indexed="64"/>
      </patternFill>
    </fill>
    <fill>
      <patternFill patternType="solid">
        <fgColor rgb="FF1F6B2E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/>
      <top style="thin">
        <color rgb="FFA6A6A6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rgb="FFA6A6A6"/>
      </top>
      <bottom style="thin">
        <color theme="0" tint="-0.34998626667073579"/>
      </bottom>
      <diagonal/>
    </border>
    <border>
      <left/>
      <right/>
      <top/>
      <bottom style="thin">
        <color rgb="FF004208"/>
      </bottom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rgb="FFA6A6A6"/>
      </top>
      <bottom style="thin">
        <color theme="0" tint="-0.3499862666707357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2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64" fontId="0" fillId="2" borderId="0" xfId="0" applyNumberFormat="1" applyFill="1"/>
    <xf numFmtId="0" fontId="0" fillId="4" borderId="0" xfId="0" applyFill="1"/>
    <xf numFmtId="0" fontId="1" fillId="4" borderId="0" xfId="0" applyFont="1" applyFill="1" applyAlignment="1">
      <alignment horizontal="left" indent="2"/>
    </xf>
    <xf numFmtId="0" fontId="0" fillId="5" borderId="0" xfId="0" applyFill="1"/>
    <xf numFmtId="0" fontId="1" fillId="5" borderId="0" xfId="0" applyFont="1" applyFill="1" applyAlignment="1">
      <alignment horizontal="left" indent="2"/>
    </xf>
    <xf numFmtId="0" fontId="0" fillId="6" borderId="0" xfId="0" applyFill="1"/>
    <xf numFmtId="0" fontId="1" fillId="6" borderId="0" xfId="0" applyFont="1" applyFill="1" applyAlignment="1">
      <alignment horizontal="left" indent="2"/>
    </xf>
    <xf numFmtId="0" fontId="3" fillId="7" borderId="0" xfId="0" applyFont="1" applyFill="1"/>
    <xf numFmtId="0" fontId="4" fillId="7" borderId="0" xfId="0" applyFont="1" applyFill="1" applyAlignment="1">
      <alignment horizontal="left" indent="2"/>
    </xf>
    <xf numFmtId="9" fontId="1" fillId="5" borderId="0" xfId="1" applyFont="1" applyFill="1" applyBorder="1" applyAlignment="1">
      <alignment horizontal="left" indent="2"/>
    </xf>
    <xf numFmtId="9" fontId="1" fillId="4" borderId="0" xfId="1" applyFont="1" applyFill="1" applyBorder="1" applyAlignment="1">
      <alignment horizontal="left" indent="2"/>
    </xf>
    <xf numFmtId="9" fontId="1" fillId="6" borderId="0" xfId="1" applyFont="1" applyFill="1" applyBorder="1" applyAlignment="1">
      <alignment horizontal="left" indent="2"/>
    </xf>
    <xf numFmtId="9" fontId="0" fillId="0" borderId="0" xfId="1" applyFont="1"/>
    <xf numFmtId="164" fontId="0" fillId="8" borderId="0" xfId="0" applyNumberFormat="1" applyFill="1"/>
    <xf numFmtId="0" fontId="0" fillId="8" borderId="0" xfId="0" applyFill="1"/>
    <xf numFmtId="0" fontId="7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164" fontId="0" fillId="10" borderId="0" xfId="0" applyNumberFormat="1" applyFill="1"/>
    <xf numFmtId="164" fontId="0" fillId="10" borderId="0" xfId="0" applyNumberFormat="1" applyFill="1" applyAlignment="1">
      <alignment horizontal="center"/>
    </xf>
    <xf numFmtId="0" fontId="0" fillId="10" borderId="0" xfId="0" applyFill="1"/>
    <xf numFmtId="0" fontId="1" fillId="10" borderId="0" xfId="0" applyFont="1" applyFill="1"/>
    <xf numFmtId="1" fontId="1" fillId="10" borderId="0" xfId="0" applyNumberFormat="1" applyFont="1" applyFill="1"/>
    <xf numFmtId="2" fontId="1" fillId="10" borderId="0" xfId="0" applyNumberFormat="1" applyFont="1" applyFill="1"/>
    <xf numFmtId="0" fontId="9" fillId="10" borderId="2" xfId="0" applyFont="1" applyFill="1" applyBorder="1" applyAlignment="1">
      <alignment horizontal="left" indent="2"/>
    </xf>
    <xf numFmtId="0" fontId="9" fillId="10" borderId="1" xfId="0" applyFont="1" applyFill="1" applyBorder="1" applyAlignment="1">
      <alignment horizontal="left" indent="2"/>
    </xf>
    <xf numFmtId="164" fontId="1" fillId="10" borderId="0" xfId="0" applyNumberFormat="1" applyFont="1" applyFill="1"/>
    <xf numFmtId="0" fontId="9" fillId="10" borderId="2" xfId="0" applyFont="1" applyFill="1" applyBorder="1" applyAlignment="1">
      <alignment horizontal="left" indent="2"/>
    </xf>
    <xf numFmtId="0" fontId="9" fillId="10" borderId="1" xfId="0" applyFont="1" applyFill="1" applyBorder="1" applyAlignment="1">
      <alignment horizontal="left" indent="2"/>
    </xf>
    <xf numFmtId="0" fontId="10" fillId="10" borderId="2" xfId="0" applyFont="1" applyFill="1" applyBorder="1" applyAlignment="1">
      <alignment horizontal="left" indent="2"/>
    </xf>
    <xf numFmtId="0" fontId="10" fillId="10" borderId="1" xfId="0" applyFont="1" applyFill="1" applyBorder="1" applyAlignment="1">
      <alignment horizontal="left" indent="2"/>
    </xf>
    <xf numFmtId="0" fontId="6" fillId="10" borderId="0" xfId="0" applyFont="1" applyFill="1"/>
    <xf numFmtId="0" fontId="9" fillId="10" borderId="3" xfId="0" applyFont="1" applyFill="1" applyBorder="1" applyAlignment="1">
      <alignment horizontal="left" indent="2"/>
    </xf>
    <xf numFmtId="0" fontId="1" fillId="10" borderId="0" xfId="0" applyFont="1" applyFill="1" applyAlignment="1">
      <alignment horizontal="left" indent="2"/>
    </xf>
    <xf numFmtId="164" fontId="0" fillId="10" borderId="0" xfId="0" applyNumberFormat="1" applyFill="1" applyBorder="1"/>
    <xf numFmtId="164" fontId="0" fillId="10" borderId="6" xfId="0" applyNumberFormat="1" applyFill="1" applyBorder="1"/>
    <xf numFmtId="0" fontId="12" fillId="11" borderId="2" xfId="0" applyFont="1" applyFill="1" applyBorder="1" applyAlignment="1">
      <alignment horizontal="left" indent="2"/>
    </xf>
    <xf numFmtId="0" fontId="12" fillId="11" borderId="1" xfId="0" applyFont="1" applyFill="1" applyBorder="1" applyAlignment="1">
      <alignment horizontal="left" indent="2"/>
    </xf>
    <xf numFmtId="164" fontId="0" fillId="10" borderId="0" xfId="0" applyNumberFormat="1" applyFill="1" applyBorder="1" applyAlignment="1">
      <alignment horizontal="center"/>
    </xf>
    <xf numFmtId="164" fontId="0" fillId="10" borderId="6" xfId="0" applyNumberFormat="1" applyFill="1" applyBorder="1" applyAlignment="1">
      <alignment horizontal="center"/>
    </xf>
    <xf numFmtId="0" fontId="7" fillId="8" borderId="7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164" fontId="9" fillId="10" borderId="2" xfId="0" applyNumberFormat="1" applyFont="1" applyFill="1" applyBorder="1" applyAlignment="1">
      <alignment horizontal="center"/>
    </xf>
    <xf numFmtId="164" fontId="9" fillId="10" borderId="1" xfId="0" applyNumberFormat="1" applyFont="1" applyFill="1" applyBorder="1" applyAlignment="1">
      <alignment horizontal="center"/>
    </xf>
    <xf numFmtId="10" fontId="9" fillId="10" borderId="2" xfId="0" applyNumberFormat="1" applyFont="1" applyFill="1" applyBorder="1" applyAlignment="1">
      <alignment horizontal="center"/>
    </xf>
    <xf numFmtId="10" fontId="9" fillId="10" borderId="1" xfId="0" applyNumberFormat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8" fontId="12" fillId="11" borderId="2" xfId="0" applyNumberFormat="1" applyFont="1" applyFill="1" applyBorder="1" applyAlignment="1">
      <alignment horizontal="center"/>
    </xf>
    <xf numFmtId="8" fontId="12" fillId="11" borderId="1" xfId="0" applyNumberFormat="1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 vertical="center"/>
    </xf>
    <xf numFmtId="164" fontId="9" fillId="10" borderId="2" xfId="0" applyNumberFormat="1" applyFont="1" applyFill="1" applyBorder="1"/>
    <xf numFmtId="0" fontId="8" fillId="9" borderId="2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8" fontId="11" fillId="8" borderId="2" xfId="0" applyNumberFormat="1" applyFont="1" applyFill="1" applyBorder="1" applyAlignment="1">
      <alignment horizontal="center"/>
    </xf>
    <xf numFmtId="8" fontId="11" fillId="8" borderId="1" xfId="0" applyNumberFormat="1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 vertical="center"/>
    </xf>
    <xf numFmtId="9" fontId="9" fillId="10" borderId="2" xfId="0" applyNumberFormat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B4D1C"/>
      <color rgb="FFCFC6B8"/>
      <color rgb="FF8C8C8C"/>
      <color rgb="FF7FAE5B"/>
      <color rgb="FF4C7A3F"/>
      <color rgb="FF1F6B2E"/>
      <color rgb="FFF7F5F2"/>
      <color rgb="FF1C1C1C"/>
      <color rgb="FFF4F2EE"/>
      <color rgb="FF2C7A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effectLst/>
          </c:spPr>
          <c:dPt>
            <c:idx val="0"/>
            <c:bubble3D val="0"/>
            <c:spPr>
              <a:solidFill>
                <a:srgbClr val="0B4D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1E-49F3-B48F-5FA09265A727}"/>
              </c:ext>
            </c:extLst>
          </c:dPt>
          <c:dPt>
            <c:idx val="1"/>
            <c:bubble3D val="0"/>
            <c:spPr>
              <a:solidFill>
                <a:srgbClr val="1F6B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EA-4A41-8551-910314CC231D}"/>
              </c:ext>
            </c:extLst>
          </c:dPt>
          <c:dPt>
            <c:idx val="2"/>
            <c:bubble3D val="0"/>
            <c:spPr>
              <a:solidFill>
                <a:srgbClr val="4C7A3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1E-49F3-B48F-5FA09265A727}"/>
              </c:ext>
            </c:extLst>
          </c:dPt>
          <c:dPt>
            <c:idx val="3"/>
            <c:bubble3D val="0"/>
            <c:spPr>
              <a:solidFill>
                <a:srgbClr val="7FA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1E-49F3-B48F-5FA09265A727}"/>
              </c:ext>
            </c:extLst>
          </c:dPt>
          <c:dPt>
            <c:idx val="4"/>
            <c:bubble3D val="0"/>
            <c:spPr>
              <a:solidFill>
                <a:srgbClr val="8C8C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EA-4A41-8551-910314CC231D}"/>
              </c:ext>
            </c:extLst>
          </c:dPt>
          <c:dPt>
            <c:idx val="5"/>
            <c:bubble3D val="0"/>
            <c:spPr>
              <a:solidFill>
                <a:srgbClr val="CFC6B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D1E-49F3-B48F-5FA09265A7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0" cmpd="sng">
                      <a:solidFill>
                        <a:schemeClr val="tx1">
                          <a:alpha val="75000"/>
                        </a:schemeClr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Planilha1!$C$33:$C$38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Planilha1!$D$33:$D$38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A41-8551-910314CC231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0" cmpd="sng">
                  <a:solidFill>
                    <a:srgbClr val="0B4D1C">
                      <a:alpha val="0"/>
                    </a:srgb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0" cmpd="sng">
                  <a:solidFill>
                    <a:srgbClr val="0B4D1C">
                      <a:alpha val="0"/>
                    </a:srgb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0" cmpd="sng">
                  <a:solidFill>
                    <a:srgbClr val="0B4D1C">
                      <a:alpha val="0"/>
                    </a:srgb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0" cmpd="sng">
                  <a:solidFill>
                    <a:srgbClr val="0B4D1C">
                      <a:alpha val="0"/>
                    </a:srgb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 cmpd="sng">
                  <a:solidFill>
                    <a:srgbClr val="0B4D1C">
                      <a:alpha val="0"/>
                    </a:srgb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ln w="0" cmpd="sng">
                  <a:solidFill>
                    <a:srgbClr val="0B4D1C">
                      <a:alpha val="0"/>
                    </a:srgb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77848436387312048"/>
          <c:y val="0.35058890251783853"/>
          <c:w val="0.18013411481459554"/>
          <c:h val="0.35526564442602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0" cmpd="sng">
                <a:solidFill>
                  <a:srgbClr val="0B4D1C">
                    <a:alpha val="0"/>
                  </a:srgbClr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7F5F2"/>
    </a:solidFill>
    <a:ln w="9525" cap="flat" cmpd="sng" algn="ctr">
      <a:noFill/>
      <a:round/>
    </a:ln>
    <a:effectLst/>
  </c:spPr>
  <c:txPr>
    <a:bodyPr/>
    <a:lstStyle/>
    <a:p>
      <a:pPr>
        <a:defRPr>
          <a:ln w="0" cmpd="sng">
            <a:solidFill>
              <a:schemeClr val="tx1">
                <a:alpha val="75000"/>
              </a:schemeClr>
            </a:solidFill>
          </a:ln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57150</xdr:rowOff>
    </xdr:from>
    <xdr:to>
      <xdr:col>5</xdr:col>
      <xdr:colOff>646981</xdr:colOff>
      <xdr:row>4</xdr:row>
      <xdr:rowOff>224108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65F8F81-B9F0-3E10-BFF1-572DFA8A977D}"/>
            </a:ext>
          </a:extLst>
        </xdr:cNvPr>
        <xdr:cNvSpPr/>
      </xdr:nvSpPr>
      <xdr:spPr>
        <a:xfrm>
          <a:off x="1275991" y="57150"/>
          <a:ext cx="6047476" cy="921769"/>
        </a:xfrm>
        <a:prstGeom prst="roundRect">
          <a:avLst/>
        </a:prstGeom>
        <a:solidFill>
          <a:srgbClr val="004208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500" b="1">
              <a:solidFill>
                <a:srgbClr val="EDE8E3"/>
              </a:solidFill>
              <a:latin typeface="Cormorant Garamond SemiBold"/>
              <a:ea typeface="+mn-ea"/>
              <a:cs typeface="+mn-cs"/>
            </a:rPr>
            <a:t>Gerenciador de Investimentos Inteligente</a:t>
          </a:r>
        </a:p>
      </xdr:txBody>
    </xdr:sp>
    <xdr:clientData/>
  </xdr:twoCellAnchor>
  <xdr:twoCellAnchor>
    <xdr:from>
      <xdr:col>1</xdr:col>
      <xdr:colOff>247650</xdr:colOff>
      <xdr:row>39</xdr:row>
      <xdr:rowOff>0</xdr:rowOff>
    </xdr:from>
    <xdr:to>
      <xdr:col>6</xdr:col>
      <xdr:colOff>9525</xdr:colOff>
      <xdr:row>59</xdr:row>
      <xdr:rowOff>104775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55AE49-8496-C215-F792-01F2489B5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53915</xdr:colOff>
      <xdr:row>3</xdr:row>
      <xdr:rowOff>149704</xdr:rowOff>
    </xdr:from>
    <xdr:ext cx="6146320" cy="32714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4EE1DF1-8646-3BD9-BAC6-4595FAAF7A11}"/>
            </a:ext>
          </a:extLst>
        </xdr:cNvPr>
        <xdr:cNvSpPr txBox="1"/>
      </xdr:nvSpPr>
      <xdr:spPr>
        <a:xfrm>
          <a:off x="1329906" y="715812"/>
          <a:ext cx="6146320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700" b="0">
              <a:solidFill>
                <a:srgbClr val="EDE8E3"/>
              </a:solidFill>
              <a:latin typeface="Cormorant Garamond SemiBold"/>
              <a:ea typeface="+mn-ea"/>
              <a:cs typeface="+mn-cs"/>
            </a:rPr>
            <a:t>Por Pâmella Amorim</a:t>
          </a:r>
        </a:p>
        <a:p>
          <a:pPr algn="ctr"/>
          <a:endParaRPr lang="pt-BR" sz="800">
            <a:solidFill>
              <a:srgbClr val="EDE8E3"/>
            </a:solidFill>
          </a:endParaRPr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D3EE-B39D-4F0E-BA38-3234B19609DA}">
  <dimension ref="A1:T58"/>
  <sheetViews>
    <sheetView showGridLines="0" showRowColHeaders="0" tabSelected="1" zoomScaleNormal="100" workbookViewId="0">
      <selection activeCell="G3" sqref="G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/>
  <cols>
    <col min="1" max="1" width="9.140625" style="24" customWidth="1"/>
    <col min="2" max="2" width="10" style="24" customWidth="1"/>
    <col min="3" max="3" width="32.5703125" style="24" bestFit="1" customWidth="1"/>
    <col min="4" max="4" width="28.28515625" style="24" bestFit="1" customWidth="1"/>
    <col min="5" max="5" width="16.85546875" style="24" bestFit="1" customWidth="1"/>
    <col min="6" max="6" width="10.85546875" style="24" customWidth="1"/>
    <col min="7" max="7" width="10.28515625" style="24" customWidth="1"/>
    <col min="8" max="8" width="0" hidden="1" customWidth="1"/>
    <col min="9" max="20" width="0" style="2" hidden="1" customWidth="1"/>
    <col min="21" max="16384" width="9.140625" style="2" hidden="1"/>
  </cols>
  <sheetData>
    <row r="1" spans="1:10" s="19" customFormat="1">
      <c r="A1" s="42" t="e" vm="1">
        <v>#VALUE!</v>
      </c>
      <c r="B1" s="42"/>
      <c r="C1" s="38"/>
      <c r="D1" s="38"/>
      <c r="E1" s="38"/>
      <c r="F1" s="38"/>
      <c r="G1" s="38"/>
      <c r="H1" s="18"/>
    </row>
    <row r="2" spans="1:10" s="19" customFormat="1">
      <c r="A2" s="42"/>
      <c r="B2" s="42"/>
      <c r="C2" s="38"/>
      <c r="D2" s="38"/>
      <c r="E2" s="38"/>
      <c r="F2" s="38"/>
      <c r="G2" s="38"/>
      <c r="H2" s="18"/>
    </row>
    <row r="3" spans="1:10" s="19" customFormat="1">
      <c r="A3" s="42"/>
      <c r="B3" s="42"/>
      <c r="C3" s="38"/>
      <c r="D3" s="38"/>
      <c r="E3" s="38"/>
      <c r="F3" s="38"/>
      <c r="G3" s="38"/>
      <c r="H3" s="18"/>
    </row>
    <row r="4" spans="1:10" s="19" customFormat="1">
      <c r="A4" s="42"/>
      <c r="B4" s="42"/>
      <c r="C4" s="38"/>
      <c r="D4" s="38"/>
      <c r="E4" s="38"/>
      <c r="F4" s="38"/>
      <c r="G4" s="38"/>
      <c r="H4" s="18"/>
    </row>
    <row r="5" spans="1:10" s="19" customFormat="1" ht="18" customHeight="1">
      <c r="A5" s="43"/>
      <c r="B5" s="43"/>
      <c r="C5" s="39"/>
      <c r="D5" s="39"/>
      <c r="E5" s="39"/>
      <c r="F5" s="39"/>
      <c r="G5" s="39"/>
      <c r="H5" s="18"/>
    </row>
    <row r="6" spans="1:10" s="3" customFormat="1">
      <c r="A6" s="22"/>
      <c r="B6" s="22"/>
      <c r="C6" s="23"/>
      <c r="D6" s="23"/>
      <c r="E6" s="23"/>
      <c r="F6" s="22"/>
      <c r="G6" s="22"/>
      <c r="H6" s="4"/>
    </row>
    <row r="7" spans="1:10">
      <c r="B7" s="25"/>
      <c r="C7" s="26"/>
      <c r="D7" s="25"/>
      <c r="E7" s="27"/>
      <c r="F7" s="25"/>
      <c r="G7" s="22"/>
      <c r="H7" s="5"/>
      <c r="I7" s="5"/>
    </row>
    <row r="8" spans="1:10" ht="28.5" customHeight="1">
      <c r="A8" s="25"/>
      <c r="B8" s="25"/>
      <c r="C8" s="44" t="s">
        <v>7</v>
      </c>
      <c r="D8" s="45"/>
      <c r="E8" s="45"/>
      <c r="F8" s="45"/>
      <c r="I8"/>
    </row>
    <row r="9" spans="1:10" ht="18">
      <c r="A9" s="25"/>
      <c r="B9" s="25"/>
      <c r="C9" s="28" t="s">
        <v>14</v>
      </c>
      <c r="D9" s="29"/>
      <c r="E9" s="46">
        <v>3300</v>
      </c>
      <c r="F9" s="47"/>
      <c r="G9" s="22"/>
      <c r="H9" s="5"/>
      <c r="I9" s="5"/>
    </row>
    <row r="10" spans="1:10" ht="18">
      <c r="A10" s="25"/>
      <c r="B10" s="25"/>
      <c r="C10" s="28" t="s">
        <v>15</v>
      </c>
      <c r="D10" s="29"/>
      <c r="E10" s="48">
        <v>6.0000000000000001E-3</v>
      </c>
      <c r="F10" s="49"/>
      <c r="G10" s="22"/>
      <c r="H10" s="5"/>
      <c r="I10" s="5"/>
    </row>
    <row r="11" spans="1:10" ht="18">
      <c r="B11" s="25"/>
      <c r="C11" s="28" t="s">
        <v>33</v>
      </c>
      <c r="D11" s="29"/>
      <c r="E11" s="46">
        <f>E9*30%</f>
        <v>990</v>
      </c>
      <c r="F11" s="47"/>
      <c r="I11"/>
    </row>
    <row r="12" spans="1:10">
      <c r="B12" s="25"/>
      <c r="C12" s="25"/>
      <c r="D12" s="25"/>
      <c r="E12" s="30"/>
      <c r="F12" s="25"/>
      <c r="I12"/>
      <c r="J12"/>
    </row>
    <row r="13" spans="1:10" ht="28.5" customHeight="1">
      <c r="B13" s="25"/>
      <c r="C13" s="44" t="s">
        <v>0</v>
      </c>
      <c r="D13" s="45"/>
      <c r="E13" s="45"/>
      <c r="F13" s="45"/>
      <c r="I13"/>
    </row>
    <row r="14" spans="1:10" ht="18">
      <c r="B14" s="25"/>
      <c r="C14" s="31" t="s">
        <v>9</v>
      </c>
      <c r="D14" s="32"/>
      <c r="E14" s="46">
        <f>Sug_investimento</f>
        <v>990</v>
      </c>
      <c r="F14" s="47"/>
      <c r="I14"/>
    </row>
    <row r="15" spans="1:10" ht="18">
      <c r="B15" s="25"/>
      <c r="C15" s="31" t="s">
        <v>10</v>
      </c>
      <c r="D15" s="32"/>
      <c r="E15" s="50">
        <v>5</v>
      </c>
      <c r="F15" s="51"/>
      <c r="I15" s="1"/>
    </row>
    <row r="16" spans="1:10" ht="18">
      <c r="B16" s="25"/>
      <c r="C16" s="31" t="s">
        <v>12</v>
      </c>
      <c r="D16" s="32"/>
      <c r="E16" s="48">
        <v>1.0800000000000001E-2</v>
      </c>
      <c r="F16" s="49"/>
      <c r="I16"/>
    </row>
    <row r="17" spans="2:9" ht="18.75">
      <c r="B17" s="25"/>
      <c r="C17" s="40" t="s">
        <v>11</v>
      </c>
      <c r="D17" s="41"/>
      <c r="E17" s="52">
        <f>FV(taxa_mensal,qtd_anos*12,aporte,)*-1</f>
        <v>82965.979165665849</v>
      </c>
      <c r="F17" s="53"/>
      <c r="I17"/>
    </row>
    <row r="18" spans="2:9" ht="18.75">
      <c r="B18" s="25"/>
      <c r="C18" s="40" t="s">
        <v>13</v>
      </c>
      <c r="D18" s="41"/>
      <c r="E18" s="52">
        <f>patrimonio*taxa_mensal</f>
        <v>896.03257498919118</v>
      </c>
      <c r="F18" s="53"/>
      <c r="I18"/>
    </row>
    <row r="19" spans="2:9">
      <c r="B19" s="25"/>
      <c r="C19" s="25"/>
      <c r="D19" s="25"/>
      <c r="E19" s="25"/>
      <c r="F19" s="25"/>
      <c r="I19"/>
    </row>
    <row r="20" spans="2:9">
      <c r="B20" s="25"/>
      <c r="C20" s="25"/>
      <c r="D20" s="25"/>
      <c r="E20" s="25"/>
      <c r="F20" s="25"/>
      <c r="I20"/>
    </row>
    <row r="21" spans="2:9" ht="28.5" customHeight="1">
      <c r="B21" s="25"/>
      <c r="C21" s="20" t="s">
        <v>1</v>
      </c>
      <c r="D21" s="54"/>
      <c r="E21" s="56" t="s">
        <v>8</v>
      </c>
      <c r="F21" s="57"/>
      <c r="I21"/>
    </row>
    <row r="22" spans="2:9" ht="18">
      <c r="B22" s="35">
        <v>2</v>
      </c>
      <c r="C22" s="36" t="s">
        <v>2</v>
      </c>
      <c r="D22" s="55">
        <f>FV($E$16,B22*12,$E$14)*-1</f>
        <v>26958.555023975776</v>
      </c>
      <c r="E22" s="46">
        <f>D22*rend_carteira</f>
        <v>161.75133014385466</v>
      </c>
      <c r="F22" s="47"/>
      <c r="I22"/>
    </row>
    <row r="23" spans="2:9" ht="18">
      <c r="B23" s="35">
        <v>5</v>
      </c>
      <c r="C23" s="36" t="s">
        <v>3</v>
      </c>
      <c r="D23" s="55">
        <f>FV($E$16,B23*12,$E$14)*-1</f>
        <v>82965.979165665849</v>
      </c>
      <c r="E23" s="46">
        <f>D23*rend_carteira</f>
        <v>497.79587499399508</v>
      </c>
      <c r="F23" s="47"/>
      <c r="I23"/>
    </row>
    <row r="24" spans="2:9" ht="18">
      <c r="B24" s="35">
        <v>10</v>
      </c>
      <c r="C24" s="36" t="s">
        <v>4</v>
      </c>
      <c r="D24" s="55">
        <f>FV($E$16,B24*12,$E$14)*-1</f>
        <v>241023.0895922521</v>
      </c>
      <c r="E24" s="46">
        <f>D24*rend_carteira</f>
        <v>1446.1385375535126</v>
      </c>
      <c r="F24" s="47"/>
      <c r="I24"/>
    </row>
    <row r="25" spans="2:9" ht="18">
      <c r="B25" s="35">
        <v>20</v>
      </c>
      <c r="C25" s="36" t="s">
        <v>5</v>
      </c>
      <c r="D25" s="55">
        <f>FV($E$16,B25*12,$E$14)*-1</f>
        <v>1115778.5033655381</v>
      </c>
      <c r="E25" s="46">
        <f>D25*rend_carteira</f>
        <v>6694.6710201932283</v>
      </c>
      <c r="F25" s="47"/>
      <c r="I25"/>
    </row>
    <row r="26" spans="2:9" ht="18">
      <c r="B26" s="35">
        <v>30</v>
      </c>
      <c r="C26" s="36" t="s">
        <v>6</v>
      </c>
      <c r="D26" s="55">
        <f>FV($E$16,B26*12,$E$14)*-1</f>
        <v>4290565.762213584</v>
      </c>
      <c r="E26" s="46">
        <f>D26*rend_carteira</f>
        <v>25743.394573281505</v>
      </c>
      <c r="F26" s="47"/>
      <c r="I26"/>
    </row>
    <row r="27" spans="2:9"/>
    <row r="28" spans="2:9"/>
    <row r="29" spans="2:9" ht="18">
      <c r="C29" s="33" t="s">
        <v>16</v>
      </c>
      <c r="D29" s="34"/>
      <c r="E29" s="58" t="s">
        <v>30</v>
      </c>
      <c r="F29" s="59"/>
    </row>
    <row r="30" spans="2:9" ht="18">
      <c r="C30" s="33" t="s">
        <v>34</v>
      </c>
      <c r="D30" s="34"/>
      <c r="E30" s="58">
        <f>aporte</f>
        <v>990</v>
      </c>
      <c r="F30" s="59"/>
    </row>
    <row r="31" spans="2:9"/>
    <row r="32" spans="2:9" ht="28.5" customHeight="1">
      <c r="B32" s="25"/>
      <c r="C32" s="21" t="s">
        <v>18</v>
      </c>
      <c r="D32" s="60" t="s">
        <v>24</v>
      </c>
      <c r="E32" s="56" t="s">
        <v>25</v>
      </c>
      <c r="F32" s="57"/>
      <c r="I32"/>
    </row>
    <row r="33" spans="3:6" ht="18">
      <c r="C33" s="36" t="s">
        <v>19</v>
      </c>
      <c r="D33" s="61">
        <f>VLOOKUP($E$29&amp;"-"&amp;$C33,'TABELA DE APOIO'!$A:$D,4,FALSE)</f>
        <v>0.5</v>
      </c>
      <c r="E33" s="46">
        <f t="shared" ref="E33:E38" si="0">aporte*D33</f>
        <v>495</v>
      </c>
      <c r="F33" s="47"/>
    </row>
    <row r="34" spans="3:6" ht="18">
      <c r="C34" s="36" t="s">
        <v>20</v>
      </c>
      <c r="D34" s="61">
        <f>VLOOKUP($E$29&amp;"-"&amp;$C34,'TABELA DE APOIO'!$A:$D,4,FALSE)</f>
        <v>0.1</v>
      </c>
      <c r="E34" s="46">
        <f t="shared" si="0"/>
        <v>99</v>
      </c>
      <c r="F34" s="47"/>
    </row>
    <row r="35" spans="3:6" ht="18">
      <c r="C35" s="36" t="s">
        <v>21</v>
      </c>
      <c r="D35" s="61">
        <f>VLOOKUP($E$29&amp;"-"&amp;$C35,'TABELA DE APOIO'!$A:$D,4,FALSE)</f>
        <v>0.05</v>
      </c>
      <c r="E35" s="46">
        <f t="shared" si="0"/>
        <v>49.5</v>
      </c>
      <c r="F35" s="47"/>
    </row>
    <row r="36" spans="3:6" ht="18">
      <c r="C36" s="36" t="s">
        <v>22</v>
      </c>
      <c r="D36" s="61">
        <f>VLOOKUP($E$29&amp;"-"&amp;$C36,'TABELA DE APOIO'!$A:$D,4,FALSE)</f>
        <v>0.05</v>
      </c>
      <c r="E36" s="46">
        <f t="shared" si="0"/>
        <v>49.5</v>
      </c>
      <c r="F36" s="47"/>
    </row>
    <row r="37" spans="3:6" ht="18">
      <c r="C37" s="36" t="s">
        <v>23</v>
      </c>
      <c r="D37" s="61">
        <f>VLOOKUP($E$29&amp;"-"&amp;$C37,'TABELA DE APOIO'!$A:$D,4,FALSE)</f>
        <v>0.2</v>
      </c>
      <c r="E37" s="46">
        <f t="shared" si="0"/>
        <v>198</v>
      </c>
      <c r="F37" s="47"/>
    </row>
    <row r="38" spans="3:6" ht="18">
      <c r="C38" s="36" t="s">
        <v>27</v>
      </c>
      <c r="D38" s="61">
        <f>VLOOKUP($E$29&amp;"-"&amp;$C38,'TABELA DE APOIO'!$A:$D,4,FALSE)</f>
        <v>0.1</v>
      </c>
      <c r="E38" s="46">
        <f t="shared" si="0"/>
        <v>99</v>
      </c>
      <c r="F38" s="47"/>
    </row>
    <row r="39" spans="3:6">
      <c r="C39" s="37"/>
      <c r="E39" s="22"/>
    </row>
    <row r="40" spans="3:6">
      <c r="C40" s="37"/>
    </row>
    <row r="41" spans="3:6"/>
    <row r="42" spans="3:6"/>
    <row r="43" spans="3:6"/>
    <row r="44" spans="3:6"/>
    <row r="45" spans="3:6"/>
    <row r="46" spans="3:6"/>
    <row r="47" spans="3:6"/>
    <row r="48" spans="3:6"/>
    <row r="49"/>
    <row r="50"/>
    <row r="51"/>
    <row r="52"/>
    <row r="53"/>
    <row r="54"/>
    <row r="55"/>
    <row r="56"/>
    <row r="57"/>
    <row r="58"/>
  </sheetData>
  <sheetProtection selectLockedCells="1" selectUnlockedCells="1"/>
  <mergeCells count="35">
    <mergeCell ref="E38:F38"/>
    <mergeCell ref="E33:F33"/>
    <mergeCell ref="E34:F34"/>
    <mergeCell ref="E35:F35"/>
    <mergeCell ref="E36:F36"/>
    <mergeCell ref="E37:F37"/>
    <mergeCell ref="E25:F25"/>
    <mergeCell ref="E26:F26"/>
    <mergeCell ref="E29:F29"/>
    <mergeCell ref="E30:F30"/>
    <mergeCell ref="E32:F32"/>
    <mergeCell ref="E18:F18"/>
    <mergeCell ref="E21:F21"/>
    <mergeCell ref="E22:F22"/>
    <mergeCell ref="E23:F23"/>
    <mergeCell ref="E24:F24"/>
    <mergeCell ref="A1:B5"/>
    <mergeCell ref="C8:F8"/>
    <mergeCell ref="E9:F9"/>
    <mergeCell ref="E10:F10"/>
    <mergeCell ref="E11:F11"/>
    <mergeCell ref="C6:E6"/>
    <mergeCell ref="C29:D29"/>
    <mergeCell ref="C30:D30"/>
    <mergeCell ref="C21:D21"/>
    <mergeCell ref="C14:D14"/>
    <mergeCell ref="C15:D15"/>
    <mergeCell ref="C16:D16"/>
    <mergeCell ref="C17:D17"/>
    <mergeCell ref="C18:D18"/>
    <mergeCell ref="C13:F13"/>
    <mergeCell ref="E14:F14"/>
    <mergeCell ref="E15:F15"/>
    <mergeCell ref="E16:F16"/>
    <mergeCell ref="E17:F17"/>
  </mergeCells>
  <dataValidations disablePrompts="1" count="1">
    <dataValidation type="list" allowBlank="1" showInputMessage="1" showErrorMessage="1" sqref="E29" xr:uid="{414EFACE-7F2F-4D28-8259-C0C47FDD4842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E915-35A9-470B-8F72-DC762336D3DB}">
  <dimension ref="A2:I20"/>
  <sheetViews>
    <sheetView workbookViewId="0">
      <selection activeCell="A2" sqref="A2"/>
    </sheetView>
  </sheetViews>
  <sheetFormatPr defaultRowHeight="15"/>
  <cols>
    <col min="1" max="1" width="30.85546875" bestFit="1" customWidth="1"/>
    <col min="2" max="2" width="16.140625" customWidth="1"/>
    <col min="3" max="3" width="26.42578125" customWidth="1"/>
    <col min="4" max="4" width="13.140625" bestFit="1" customWidth="1"/>
    <col min="8" max="8" width="16.85546875" bestFit="1" customWidth="1"/>
  </cols>
  <sheetData>
    <row r="2" spans="1:9">
      <c r="A2" s="12" t="s">
        <v>31</v>
      </c>
      <c r="B2" s="12" t="s">
        <v>26</v>
      </c>
      <c r="C2" s="13" t="s">
        <v>18</v>
      </c>
      <c r="D2" s="12" t="s">
        <v>28</v>
      </c>
    </row>
    <row r="3" spans="1:9">
      <c r="A3" s="8" t="str">
        <f>$B3&amp;"-"&amp;C3</f>
        <v>Conservador-PAPEL</v>
      </c>
      <c r="B3" s="8" t="s">
        <v>17</v>
      </c>
      <c r="C3" s="9" t="s">
        <v>19</v>
      </c>
      <c r="D3" s="14">
        <v>0.3</v>
      </c>
      <c r="H3" s="6" t="s">
        <v>32</v>
      </c>
      <c r="I3" s="17">
        <f>VLOOKUP(H3,$A:$D,4,FALSE)</f>
        <v>0.35</v>
      </c>
    </row>
    <row r="4" spans="1:9">
      <c r="A4" s="8" t="str">
        <f t="shared" ref="A4:A20" si="0">$B4&amp;"-"&amp;C4</f>
        <v>Conservador-TIJOLO</v>
      </c>
      <c r="B4" s="8" t="s">
        <v>17</v>
      </c>
      <c r="C4" s="9" t="s">
        <v>20</v>
      </c>
      <c r="D4" s="14">
        <v>0.5</v>
      </c>
    </row>
    <row r="5" spans="1:9">
      <c r="A5" s="8" t="str">
        <f t="shared" si="0"/>
        <v>Conservador-HIBRIDOS</v>
      </c>
      <c r="B5" s="8" t="s">
        <v>17</v>
      </c>
      <c r="C5" s="9" t="s">
        <v>21</v>
      </c>
      <c r="D5" s="14">
        <v>0.1</v>
      </c>
    </row>
    <row r="6" spans="1:9">
      <c r="A6" s="8" t="str">
        <f t="shared" si="0"/>
        <v>Conservador-FOFs</v>
      </c>
      <c r="B6" s="8" t="s">
        <v>17</v>
      </c>
      <c r="C6" s="9" t="s">
        <v>22</v>
      </c>
      <c r="D6" s="14">
        <v>0.1</v>
      </c>
    </row>
    <row r="7" spans="1:9">
      <c r="A7" s="8" t="str">
        <f t="shared" si="0"/>
        <v>Conservador-DESENVOLVIMENTO</v>
      </c>
      <c r="B7" s="8" t="s">
        <v>17</v>
      </c>
      <c r="C7" s="9" t="s">
        <v>23</v>
      </c>
      <c r="D7" s="14">
        <v>0</v>
      </c>
    </row>
    <row r="8" spans="1:9">
      <c r="A8" s="8" t="str">
        <f t="shared" si="0"/>
        <v>Conservador-HOTELARIA</v>
      </c>
      <c r="B8" s="8" t="s">
        <v>17</v>
      </c>
      <c r="C8" s="9" t="s">
        <v>27</v>
      </c>
      <c r="D8" s="14">
        <v>0</v>
      </c>
    </row>
    <row r="9" spans="1:9">
      <c r="A9" s="6" t="str">
        <f t="shared" si="0"/>
        <v>Moderado-PAPEL</v>
      </c>
      <c r="B9" s="6" t="s">
        <v>29</v>
      </c>
      <c r="C9" s="7" t="s">
        <v>19</v>
      </c>
      <c r="D9" s="15">
        <v>0.32</v>
      </c>
    </row>
    <row r="10" spans="1:9">
      <c r="A10" s="6" t="str">
        <f t="shared" si="0"/>
        <v>Moderado-TIJOLO</v>
      </c>
      <c r="B10" s="6" t="s">
        <v>29</v>
      </c>
      <c r="C10" s="7" t="s">
        <v>20</v>
      </c>
      <c r="D10" s="15">
        <v>0.35</v>
      </c>
    </row>
    <row r="11" spans="1:9">
      <c r="A11" s="6" t="str">
        <f t="shared" si="0"/>
        <v>Moderado-HIBRIDOS</v>
      </c>
      <c r="B11" s="6" t="s">
        <v>29</v>
      </c>
      <c r="C11" s="7" t="s">
        <v>21</v>
      </c>
      <c r="D11" s="15">
        <v>0.08</v>
      </c>
    </row>
    <row r="12" spans="1:9">
      <c r="A12" s="6" t="str">
        <f t="shared" si="0"/>
        <v>Moderado-FOFs</v>
      </c>
      <c r="B12" s="6" t="s">
        <v>29</v>
      </c>
      <c r="C12" s="7" t="s">
        <v>22</v>
      </c>
      <c r="D12" s="15">
        <v>0.05</v>
      </c>
    </row>
    <row r="13" spans="1:9">
      <c r="A13" s="6" t="str">
        <f t="shared" si="0"/>
        <v>Moderado-DESENVOLVIMENTO</v>
      </c>
      <c r="B13" s="6" t="s">
        <v>29</v>
      </c>
      <c r="C13" s="7" t="s">
        <v>23</v>
      </c>
      <c r="D13" s="15">
        <v>0.1</v>
      </c>
    </row>
    <row r="14" spans="1:9">
      <c r="A14" s="6" t="str">
        <f t="shared" si="0"/>
        <v>Moderado-HOTELARIA</v>
      </c>
      <c r="B14" s="6" t="s">
        <v>29</v>
      </c>
      <c r="C14" s="7" t="s">
        <v>27</v>
      </c>
      <c r="D14" s="15">
        <v>0.1</v>
      </c>
    </row>
    <row r="15" spans="1:9">
      <c r="A15" s="10" t="str">
        <f t="shared" si="0"/>
        <v>Agressivo-PAPEL</v>
      </c>
      <c r="B15" s="10" t="s">
        <v>30</v>
      </c>
      <c r="C15" s="11" t="s">
        <v>19</v>
      </c>
      <c r="D15" s="16">
        <v>0.5</v>
      </c>
    </row>
    <row r="16" spans="1:9">
      <c r="A16" s="10" t="str">
        <f t="shared" si="0"/>
        <v>Agressivo-TIJOLO</v>
      </c>
      <c r="B16" s="10" t="s">
        <v>30</v>
      </c>
      <c r="C16" s="11" t="s">
        <v>20</v>
      </c>
      <c r="D16" s="16">
        <v>0.1</v>
      </c>
    </row>
    <row r="17" spans="1:4">
      <c r="A17" s="10" t="str">
        <f t="shared" si="0"/>
        <v>Agressivo-HIBRIDOS</v>
      </c>
      <c r="B17" s="10" t="s">
        <v>30</v>
      </c>
      <c r="C17" s="11" t="s">
        <v>21</v>
      </c>
      <c r="D17" s="16">
        <v>0.05</v>
      </c>
    </row>
    <row r="18" spans="1:4">
      <c r="A18" s="10" t="str">
        <f t="shared" si="0"/>
        <v>Agressivo-FOFs</v>
      </c>
      <c r="B18" s="10" t="s">
        <v>30</v>
      </c>
      <c r="C18" s="11" t="s">
        <v>22</v>
      </c>
      <c r="D18" s="16">
        <v>0.05</v>
      </c>
    </row>
    <row r="19" spans="1:4">
      <c r="A19" s="10" t="str">
        <f t="shared" si="0"/>
        <v>Agressivo-DESENVOLVIMENTO</v>
      </c>
      <c r="B19" s="10" t="s">
        <v>30</v>
      </c>
      <c r="C19" s="11" t="s">
        <v>23</v>
      </c>
      <c r="D19" s="16">
        <v>0.2</v>
      </c>
    </row>
    <row r="20" spans="1:4">
      <c r="A20" s="10" t="str">
        <f t="shared" si="0"/>
        <v>Agressivo-HOTELARIA</v>
      </c>
      <c r="B20" s="10" t="s">
        <v>30</v>
      </c>
      <c r="C20" s="11" t="s">
        <v>27</v>
      </c>
      <c r="D20" s="1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TABELA DE APOIO</vt:lpstr>
      <vt:lpstr>aporte</vt:lpstr>
      <vt:lpstr>patrimonio</vt:lpstr>
      <vt:lpstr>qtd_anos</vt:lpstr>
      <vt:lpstr>rend_carteira</vt:lpstr>
      <vt:lpstr>salario</vt:lpstr>
      <vt:lpstr>Sug_investimento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Pâmella de Amorim Soares</dc:creator>
  <cp:lastModifiedBy>Pâmella de Amorim Soares</cp:lastModifiedBy>
  <cp:lastPrinted>2026-02-15T16:54:07Z</cp:lastPrinted>
  <dcterms:created xsi:type="dcterms:W3CDTF">2026-02-10T20:19:22Z</dcterms:created>
  <dcterms:modified xsi:type="dcterms:W3CDTF">2026-02-15T18:08:00Z</dcterms:modified>
</cp:coreProperties>
</file>